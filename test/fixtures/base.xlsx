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" sheetId="1" r:id="rId1"/>
    <sheet name="CARTÃO" sheetId="2" r:id="rId2"/>
    <sheet name="Apoio" sheetId="3" r:id="rId3"/>
    <sheet name="Regr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MÊS_COMPRA</v>
      </c>
      <c r="B1" t="str">
        <v>MÊS_VENC</v>
      </c>
      <c r="C1" t="str">
        <v>DATA COMPRA</v>
      </c>
      <c r="D1" t="str">
        <v>VENCIMENTO</v>
      </c>
      <c r="E1" t="str">
        <v>DESCRIÇÃO</v>
      </c>
      <c r="F1" t="str">
        <v>SUBGRUPO</v>
      </c>
      <c r="G1" t="str">
        <v>VALOR</v>
      </c>
    </row>
    <row r="2">
      <c r="A2">
        <f>DATE(YEAR(C2),MONTH(C2),1)</f>
      </c>
      <c r="B2">
        <f>DATE(YEAR(D2),MONTH(D2),1)</f>
      </c>
      <c r="C2" s="1">
        <v>46239</v>
      </c>
      <c r="D2" s="1">
        <v>46239</v>
      </c>
      <c r="E2" t="str">
        <v>TOMASI IMOVEIS</v>
      </c>
      <c r="F2" t="str">
        <v>Aluguel</v>
      </c>
      <c r="G2">
        <v>1850</v>
      </c>
    </row>
    <row r="3">
      <c r="A3">
        <f>DATE(YEAR(C3),MONTH(C3),1)</f>
      </c>
      <c r="B3">
        <f>DATE(YEAR(D3),MONTH(D3),1)</f>
      </c>
      <c r="C3" s="1">
        <v>46246</v>
      </c>
      <c r="D3" s="1">
        <v>46246</v>
      </c>
      <c r="E3" t="str">
        <v>RGE SUL</v>
      </c>
      <c r="F3" t="str">
        <v>Energia elétrica</v>
      </c>
      <c r="G3">
        <v>231.1</v>
      </c>
    </row>
    <row r="4">
      <c r="A4">
        <f>DATE(YEAR(C4),MONTH(C4),1)</f>
      </c>
      <c r="B4">
        <f>DATE(YEAR(D4),MONTH(D4),1)</f>
      </c>
      <c r="C4" s="1">
        <v>46265</v>
      </c>
      <c r="D4" s="1">
        <v>46265</v>
      </c>
      <c r="E4" t="str">
        <v>CLARO</v>
      </c>
      <c r="F4" t="str">
        <v>Celular</v>
      </c>
      <c r="G4">
        <v>89.99</v>
      </c>
    </row>
    <row r="5">
      <c r="A5">
        <f>DATE(YEAR(C5),MONTH(C5),1)</f>
      </c>
      <c r="B5">
        <f>DATE(YEAR(D5),MONTH(D5),1)</f>
      </c>
      <c r="C5" s="1">
        <v>46266</v>
      </c>
      <c r="D5" s="1">
        <v>46266</v>
      </c>
      <c r="E5" t="str">
        <v>RGE SUL</v>
      </c>
      <c r="F5" t="str">
        <v>Energia elétrica</v>
      </c>
      <c r="G5">
        <v>245.3</v>
      </c>
    </row>
    <row r="6">
      <c r="A6">
        <f>DATE(YEAR(C6),MONTH(C6),1)</f>
      </c>
      <c r="B6">
        <f>DATE(YEAR(D6),MONTH(D6),1)</f>
      </c>
      <c r="C6" s="1">
        <v>46267</v>
      </c>
      <c r="D6" s="1">
        <v>46267</v>
      </c>
      <c r="E6" t="str">
        <v>TOMASI IMOVEIS</v>
      </c>
      <c r="F6" t="str">
        <v>Aluguel</v>
      </c>
      <c r="G6">
        <v>1850</v>
      </c>
    </row>
    <row r="7">
      <c r="A7">
        <f>DATE(YEAR(C7),MONTH(C7),1)</f>
      </c>
      <c r="B7">
        <f>DATE(YEAR(D7),MONTH(D7),1)</f>
      </c>
      <c r="C7" s="1">
        <v>46270</v>
      </c>
      <c r="D7" s="1">
        <v>46270</v>
      </c>
      <c r="E7" t="str">
        <v>TAR PACOTE ITAU</v>
      </c>
      <c r="F7" t="str">
        <v>Tarifas / Encargos</v>
      </c>
      <c r="G7">
        <v>39.9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MÊS_COMPRA</v>
      </c>
      <c r="B1" t="str">
        <v>MÊS_VENC</v>
      </c>
      <c r="C1" t="str">
        <v>DATA COMPRA</v>
      </c>
      <c r="D1" t="str">
        <v>VENCIMENTO</v>
      </c>
      <c r="E1" t="str">
        <v>DESCRIÇÃO</v>
      </c>
      <c r="F1" t="str">
        <v>Parcela</v>
      </c>
      <c r="G1" t="str">
        <v>CARTÃO</v>
      </c>
      <c r="H1" t="str">
        <v>SUBGRUPO</v>
      </c>
      <c r="I1" t="str">
        <v>VALOR</v>
      </c>
    </row>
    <row r="2">
      <c r="C2" s="1">
        <v>46223</v>
      </c>
      <c r="D2" s="1">
        <v>46244</v>
      </c>
      <c r="E2" t="str">
        <v>MAGAZINE LUIZA</v>
      </c>
      <c r="F2" t="str">
        <v>01/10</v>
      </c>
      <c r="G2" t="str">
        <v>Itaú Black</v>
      </c>
      <c r="H2" t="str">
        <v/>
      </c>
      <c r="I2">
        <v>120</v>
      </c>
    </row>
    <row r="3">
      <c r="C3" s="1">
        <v>46223</v>
      </c>
      <c r="D3" s="1">
        <v>46275</v>
      </c>
      <c r="E3" t="str">
        <v>MAGAZINE LUIZA</v>
      </c>
      <c r="F3" t="str">
        <v>02/10</v>
      </c>
      <c r="G3" t="str">
        <v>Itaú Black</v>
      </c>
      <c r="H3" t="str">
        <v/>
      </c>
      <c r="I3">
        <v>120</v>
      </c>
    </row>
    <row r="4">
      <c r="C4" s="1">
        <v>46237</v>
      </c>
      <c r="D4" s="1">
        <v>46275</v>
      </c>
      <c r="E4" t="str">
        <v>AMAZON MARKETPLACE</v>
      </c>
      <c r="F4" t="str">
        <v>01/05</v>
      </c>
      <c r="G4" t="str">
        <v>Itaú Black</v>
      </c>
      <c r="H4" t="str">
        <v/>
      </c>
      <c r="I4">
        <v>75</v>
      </c>
    </row>
    <row r="5">
      <c r="C5" s="1">
        <v>46237</v>
      </c>
      <c r="D5" s="1">
        <v>46305</v>
      </c>
      <c r="E5" t="str">
        <v>AMAZON MARKETPLACE</v>
      </c>
      <c r="F5" t="str">
        <v>02/05</v>
      </c>
      <c r="G5" t="str">
        <v>Itaú Black</v>
      </c>
      <c r="H5" t="str">
        <v/>
      </c>
      <c r="I5">
        <v>75</v>
      </c>
    </row>
    <row r="6">
      <c r="C6" s="1">
        <v>46237</v>
      </c>
      <c r="D6" s="1">
        <v>46336</v>
      </c>
      <c r="E6" t="str">
        <v>AMAZON MARKETPLACE</v>
      </c>
      <c r="F6" t="str">
        <v>03/05</v>
      </c>
      <c r="G6" t="str">
        <v>Itaú Black</v>
      </c>
      <c r="H6" t="str">
        <v/>
      </c>
      <c r="I6">
        <v>75</v>
      </c>
    </row>
    <row r="7">
      <c r="C7" s="1">
        <v>46237</v>
      </c>
      <c r="D7" s="1">
        <v>46366</v>
      </c>
      <c r="E7" t="str">
        <v>AMAZON MARKETPLACE</v>
      </c>
      <c r="F7" t="str">
        <v>04/05</v>
      </c>
      <c r="G7" t="str">
        <v>Itaú Black</v>
      </c>
      <c r="H7" t="str">
        <v/>
      </c>
      <c r="I7">
        <v>75</v>
      </c>
    </row>
    <row r="8">
      <c r="C8" s="1">
        <v>46237</v>
      </c>
      <c r="D8" s="1">
        <v>46397</v>
      </c>
      <c r="E8" t="str">
        <v>AMAZON MARKETPLACE</v>
      </c>
      <c r="F8" t="str">
        <v>05/05</v>
      </c>
      <c r="G8" t="str">
        <v>Itaú Black</v>
      </c>
      <c r="H8" t="str">
        <v/>
      </c>
      <c r="I8">
        <v>75</v>
      </c>
    </row>
    <row r="9">
      <c r="C9" s="1">
        <v>46249</v>
      </c>
      <c r="D9" s="1">
        <v>46275</v>
      </c>
      <c r="E9" t="str">
        <v>CLINICA ODONTO SORRISO</v>
      </c>
      <c r="F9" t="str">
        <v>01/04</v>
      </c>
      <c r="G9" t="str">
        <v>Itaú Black</v>
      </c>
      <c r="H9" t="str">
        <v>Odontologia</v>
      </c>
      <c r="I9">
        <v>180</v>
      </c>
    </row>
    <row r="10">
      <c r="C10" s="1">
        <v>46249</v>
      </c>
      <c r="D10" s="1">
        <v>46305</v>
      </c>
      <c r="E10" t="str">
        <v>CLINICA ODONTO SORRISO</v>
      </c>
      <c r="F10" t="str">
        <v>02/04</v>
      </c>
      <c r="G10" t="str">
        <v>Itaú Black</v>
      </c>
      <c r="H10" t="str">
        <v>Odontologia</v>
      </c>
      <c r="I10">
        <v>180</v>
      </c>
    </row>
    <row r="11">
      <c r="C11" s="1">
        <v>46256</v>
      </c>
      <c r="D11" s="1">
        <v>46275</v>
      </c>
      <c r="E11" t="str">
        <v>ZAFFARI BOURBON</v>
      </c>
      <c r="F11" t="str">
        <v>01/01</v>
      </c>
      <c r="G11" t="str">
        <v>Itaú Black</v>
      </c>
      <c r="H11" t="str">
        <v>Mercado / Limpeza</v>
      </c>
      <c r="I11">
        <v>287.4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Categoria</v>
      </c>
      <c r="B1" t="str">
        <v>Subgrupo</v>
      </c>
      <c r="D1" t="str">
        <v>Cartões</v>
      </c>
    </row>
    <row r="2">
      <c r="A2" t="str">
        <v>Casa</v>
      </c>
      <c r="B2" t="str">
        <v>Aluguel</v>
      </c>
      <c r="D2" t="str">
        <v>Itaú Black</v>
      </c>
    </row>
    <row r="3">
      <c r="A3" t="str">
        <v>Casa</v>
      </c>
      <c r="B3" t="str">
        <v>Energia elétrica</v>
      </c>
      <c r="D3" t="str">
        <v>Nubank</v>
      </c>
    </row>
    <row r="4">
      <c r="A4" t="str">
        <v>Casa</v>
      </c>
      <c r="B4" t="str">
        <v>Internet</v>
      </c>
    </row>
    <row r="5">
      <c r="A5" t="str">
        <v>Casa</v>
      </c>
      <c r="B5" t="str">
        <v>Celular</v>
      </c>
    </row>
    <row r="6">
      <c r="A6" t="str">
        <v>Casa</v>
      </c>
      <c r="B6" t="str">
        <v>Mercado / Limpeza</v>
      </c>
    </row>
    <row r="7">
      <c r="A7" t="str">
        <v>Saúde</v>
      </c>
      <c r="B7" t="str">
        <v>Medicamentos</v>
      </c>
    </row>
    <row r="8">
      <c r="A8" t="str">
        <v>Saúde</v>
      </c>
      <c r="B8" t="str">
        <v>Odontologia</v>
      </c>
    </row>
    <row r="9">
      <c r="A9" t="str">
        <v>Saúde</v>
      </c>
      <c r="B9" t="str">
        <v>Academia</v>
      </c>
    </row>
    <row r="10">
      <c r="A10" t="str">
        <v>Alimentação</v>
      </c>
      <c r="B10" t="str">
        <v>Lanches / Delivery</v>
      </c>
    </row>
    <row r="11">
      <c r="A11" t="str">
        <v>Filhos</v>
      </c>
      <c r="B11" t="str">
        <v>Escola</v>
      </c>
    </row>
    <row r="12">
      <c r="A12" t="str">
        <v>Filhos</v>
      </c>
      <c r="B12" t="str">
        <v>Roupas infantis</v>
      </c>
    </row>
    <row r="13">
      <c r="A13" t="str">
        <v>Pessoal</v>
      </c>
      <c r="B13" t="str">
        <v>Roupas</v>
      </c>
    </row>
    <row r="14">
      <c r="A14" t="str">
        <v>Transporte</v>
      </c>
      <c r="B14" t="str">
        <v>Combustível</v>
      </c>
    </row>
    <row r="15">
      <c r="A15" t="str">
        <v>Transporte</v>
      </c>
      <c r="B15" t="str">
        <v>Mecânica / Manutenção</v>
      </c>
    </row>
    <row r="16">
      <c r="A16" t="str">
        <v>Transporte</v>
      </c>
      <c r="B16" t="str">
        <v>Seguro</v>
      </c>
    </row>
    <row r="17">
      <c r="A17" t="str">
        <v>Lazer</v>
      </c>
      <c r="B17" t="str">
        <v>Passeios</v>
      </c>
    </row>
    <row r="18">
      <c r="A18" t="str">
        <v>Lazer</v>
      </c>
      <c r="B18" t="str">
        <v>Cinema / Teatro</v>
      </c>
    </row>
    <row r="19">
      <c r="A19" t="str">
        <v>Lazer</v>
      </c>
      <c r="B19" t="str">
        <v>Eventos / Shows</v>
      </c>
    </row>
    <row r="20">
      <c r="A20" t="str">
        <v>Pet</v>
      </c>
      <c r="B20" t="str">
        <v>Veterinário / Vacinas</v>
      </c>
    </row>
    <row r="21">
      <c r="A21" t="str">
        <v>Pet</v>
      </c>
      <c r="B21" t="str">
        <v>Ração / Alimentação</v>
      </c>
    </row>
    <row r="22">
      <c r="A22" t="str">
        <v>Financeiro</v>
      </c>
      <c r="B22" t="str">
        <v>Tarifas / Encargos</v>
      </c>
    </row>
    <row r="23">
      <c r="A23" t="str">
        <v>Outros</v>
      </c>
      <c r="B23" t="str">
        <v>Presentes / Doações</v>
      </c>
    </row>
    <row r="24">
      <c r="A24" t="str">
        <v>Outros</v>
      </c>
      <c r="B24" t="str">
        <v>Diversos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REGRAS DE CATEGORIZAÇÃO</v>
      </c>
    </row>
    <row r="3">
      <c r="A3" t="str">
        <v>Contém (palavra-chave)</v>
      </c>
      <c r="B3" t="str">
        <v>Subgrupo</v>
      </c>
    </row>
    <row r="4">
      <c r="A4" t="str">
        <v>SMART FIT</v>
      </c>
      <c r="B4" t="str">
        <v>Academia</v>
      </c>
    </row>
    <row r="5">
      <c r="A5" t="str">
        <v>PALAVRA SEM SUBGRUPO</v>
      </c>
      <c r="B5" t="str">
        <v>Inexistente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CASH</vt:lpstr>
      <vt:lpstr>CARTÃO</vt:lpstr>
      <vt:lpstr>Apoio</vt:lpstr>
      <vt:lpstr>Regras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